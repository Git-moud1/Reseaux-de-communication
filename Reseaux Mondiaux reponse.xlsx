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bookViews>
    <workbookView xWindow="0" yWindow="0" windowWidth="16380" windowHeight="8190" tabRatio="500"/>
  </bookViews>
  <sheets>
    <sheet name="Réponses au formulaire 1" sheetId="1" r:id="rId1"/>
    <sheet name="Analyse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/>
  <c r="C7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B30" i="2"/>
  <c r="B29" i="2"/>
  <c r="B24" i="2"/>
  <c r="B23" i="2"/>
  <c r="B22" i="2"/>
  <c r="B21" i="2"/>
  <c r="B16" i="2"/>
  <c r="B15" i="2"/>
  <c r="B14" i="2"/>
  <c r="C9" i="2"/>
  <c r="C8" i="2"/>
  <c r="C15" i="2" l="1"/>
  <c r="B25" i="2"/>
  <c r="C21" i="2" s="1"/>
  <c r="B31" i="2"/>
  <c r="C29" i="2" s="1"/>
  <c r="B17" i="2"/>
  <c r="C14" i="2" s="1"/>
  <c r="C30" i="2" l="1"/>
  <c r="C31" i="2" s="1"/>
  <c r="C24" i="2"/>
  <c r="C23" i="2"/>
  <c r="C22" i="2"/>
  <c r="C25" i="2" s="1"/>
  <c r="C16" i="2"/>
  <c r="C17" i="2" s="1"/>
</calcChain>
</file>

<file path=xl/sharedStrings.xml><?xml version="1.0" encoding="utf-8"?>
<sst xmlns="http://schemas.openxmlformats.org/spreadsheetml/2006/main" count="175" uniqueCount="99">
  <si>
    <t>Horodateur</t>
  </si>
  <si>
    <t>Adresse e-mail</t>
  </si>
  <si>
    <t>Quel est votre statut ? (Etudiants/Enseignant/ Autre)</t>
  </si>
  <si>
    <t>Quel type de connexion internet utilisez-vous le plus ?</t>
  </si>
  <si>
    <t>Quel appareil utilisez-vous le plus pour communiquer sur internet ?</t>
  </si>
  <si>
    <t>A quel point la qualité de votre connexion internet est-elle satisfaisante ?</t>
  </si>
  <si>
    <t>Utilisez-vous internet pour les études ou le travail ?</t>
  </si>
  <si>
    <t>Pour quelles activités utilisez-vous le plus internet ?</t>
  </si>
  <si>
    <t>Selon vous, comment les réseaux de communication ont-ils changé la façon dont les gens communiquent ?</t>
  </si>
  <si>
    <t>25169@supnum.mr</t>
  </si>
  <si>
    <t>Étudiant</t>
  </si>
  <si>
    <t>Wi-Fi</t>
  </si>
  <si>
    <t>Ordinateur Portable</t>
  </si>
  <si>
    <t>Oui</t>
  </si>
  <si>
    <t>Réseaux sociaux, Regarder des vidéos</t>
  </si>
  <si>
    <t xml:space="preserve">De façon générale </t>
  </si>
  <si>
    <t>25044@supnum.mr</t>
  </si>
  <si>
    <t>Autre</t>
  </si>
  <si>
    <t>Cable / Fibre</t>
  </si>
  <si>
    <t>Ordinateur de Bureau</t>
  </si>
  <si>
    <t>Non</t>
  </si>
  <si>
    <t>Jeux en ligne</t>
  </si>
  <si>
    <t>25047@supnum.mr</t>
  </si>
  <si>
    <t>Enseignant</t>
  </si>
  <si>
    <t>Données mobiles (5G / 4G)</t>
  </si>
  <si>
    <t>Réseaux sociaux</t>
  </si>
  <si>
    <t>Fjgkh</t>
  </si>
  <si>
    <t>25051@supnum.mr</t>
  </si>
  <si>
    <t>Regarder des vidéos</t>
  </si>
  <si>
    <t>Oii</t>
  </si>
  <si>
    <t>25130@supnum.mr</t>
  </si>
  <si>
    <t>Smartphone</t>
  </si>
  <si>
    <t>Kutf</t>
  </si>
  <si>
    <t>250135@supnum.mr</t>
  </si>
  <si>
    <t>Tablette</t>
  </si>
  <si>
    <t>Bien</t>
  </si>
  <si>
    <t>25120@spnum.mr</t>
  </si>
  <si>
    <t>25073@supnum.mr</t>
  </si>
  <si>
    <t>Recherche d'informations</t>
  </si>
  <si>
    <t>Uhgf</t>
  </si>
  <si>
    <t>25036@supnum.mr</t>
  </si>
  <si>
    <t>Communication à grande distanc,rapide</t>
  </si>
  <si>
    <t>25164@supnum.mr</t>
  </si>
  <si>
    <t>Enseignet</t>
  </si>
  <si>
    <t>Je ne sais pas</t>
  </si>
  <si>
    <t>azizeelgouth@gmail.com</t>
  </si>
  <si>
    <t>Étudiante</t>
  </si>
  <si>
    <t>Etudes / Travail, Réseaux sociaux, Regarder des vidéos</t>
  </si>
  <si>
    <t>….</t>
  </si>
  <si>
    <t>Medleminlebatt@gmail.com</t>
  </si>
  <si>
    <t>Etudient</t>
  </si>
  <si>
    <t>Etudes / Travail</t>
  </si>
  <si>
    <t xml:space="preserve">Pas mal
</t>
  </si>
  <si>
    <t>25109@supnum.mr</t>
  </si>
  <si>
    <t>Etudes / Travail, Réseaux sociaux, Regarder des vidéos, Jeux en ligne, Recherche d'informations</t>
  </si>
  <si>
    <t>Les réseaux ont rendu la communication instantanée, mondiale et accessible à tous en temps réel.</t>
  </si>
  <si>
    <t>baymed000@gmail.com</t>
  </si>
  <si>
    <t>Etudiant</t>
  </si>
  <si>
    <t>Etudes / Travail, Réseaux sociaux</t>
  </si>
  <si>
    <t>communication de groupes</t>
  </si>
  <si>
    <t>medmahmoudn1@icloud.com</t>
  </si>
  <si>
    <t>Regarder des vidéos, Jeux en ligne</t>
  </si>
  <si>
    <t xml:space="preserve"> L'abolition des distances</t>
  </si>
  <si>
    <t>medmoudcheihk@gmail.com</t>
  </si>
  <si>
    <t>Etudes / Travail, Regarder des vidéos, Recherche d'informations</t>
  </si>
  <si>
    <t>La communication asynchrone généralisée</t>
  </si>
  <si>
    <t>medvallaichetou2@gmail.com</t>
  </si>
  <si>
    <t xml:space="preserve">Autre </t>
  </si>
  <si>
    <t>Les réseaux de communication ont rendu la communication plus rapide et plus facile. Les gens peuvent échanger des messageset des photos .</t>
  </si>
  <si>
    <t>Analyse des données – Réseaux Mondiaux</t>
  </si>
  <si>
    <t>1. Analyse d'une question numérique</t>
  </si>
  <si>
    <t>Indicateur</t>
  </si>
  <si>
    <t>Formule utilisée</t>
  </si>
  <si>
    <t>Résultat</t>
  </si>
  <si>
    <t>Nombre de réponses</t>
  </si>
  <si>
    <t>COUNT()</t>
  </si>
  <si>
    <t>Minimum (heures)</t>
  </si>
  <si>
    <t>MIN()</t>
  </si>
  <si>
    <t>Maximum (heures)</t>
  </si>
  <si>
    <t>MAX()</t>
  </si>
  <si>
    <t>Moyenne (heures)</t>
  </si>
  <si>
    <t>AVERAGE()</t>
  </si>
  <si>
    <t>2. Analyse d'une question catégorielle</t>
  </si>
  <si>
    <t>Question : Quel type de connexion internet utilisez-vous le plus ?</t>
  </si>
  <si>
    <t>Réponse</t>
  </si>
  <si>
    <t>Nombre</t>
  </si>
  <si>
    <t>Pourcentage</t>
  </si>
  <si>
    <t>TOTAL</t>
  </si>
  <si>
    <t>Question : Quel appareil utilisez-vous le plus pour communiquer sur internet ?</t>
  </si>
  <si>
    <t>Question : Utilisez-vous internet pour les études ou le travail ?</t>
  </si>
  <si>
    <t>3. Interprétation des résultats</t>
  </si>
  <si>
    <t>1. La majorité des répondants utilisent le Wi-Fi comme connexion principale, suivi du câble/fibre et des données mobiles.</t>
  </si>
  <si>
    <t>2. Le smartphone est l'appareil dominant pour communiquer sur internet, suivi de l'ordinateur portable.</t>
  </si>
  <si>
    <t>3. La durée moyenne de connexion quotidienne est élevée, reflétant une forte dépendance à internet.</t>
  </si>
  <si>
    <t>4. Plus de 64 % des répondants utilisent internet pour leurs études ou leur travail, soulignant son rôle pédagogique.</t>
  </si>
  <si>
    <t>5. Les réseaux sociaux et le divertissement dominent les usages, mais les activités académiques restent significatives.</t>
  </si>
  <si>
    <t>Heures</t>
  </si>
  <si>
    <r>
      <t>Combien d'heures par jour passez-vous sur internet</t>
    </r>
    <r>
      <rPr>
        <sz val="10"/>
        <color rgb="FFFF0000"/>
        <rFont val="Arial"/>
        <family val="2"/>
      </rPr>
      <t>(</t>
    </r>
    <r>
      <rPr>
        <b/>
        <sz val="10"/>
        <color rgb="FFFF0000"/>
        <rFont val="Arial"/>
        <family val="2"/>
      </rPr>
      <t>heures</t>
    </r>
    <r>
      <rPr>
        <sz val="10"/>
        <color theme="1"/>
        <rFont val="Arial"/>
        <family val="2"/>
        <charset val="1"/>
      </rPr>
      <t>)</t>
    </r>
  </si>
  <si>
    <t>Combien d'heures par jour passez-vous sur internet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</si>
</sst>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\ h:mm:ss"/>
    <numFmt numFmtId="165" formatCode="0.0%"/>
  </numFmts>
  <fonts count="16" x14ac:knownFonts="1">
    <font>
      <sz val="10"/>
      <color rgb="FF000000"/>
      <name val="Arial"/>
      <charset val="1"/>
    </font>
    <font>
      <sz val="10"/>
      <color theme="1"/>
      <name val="Arial"/>
      <family val="2"/>
    </font>
    <font>
      <sz val="10"/>
      <color theme="1"/>
      <name val="Arial"/>
      <family val="2"/>
      <charset val="1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i/>
      <sz val="10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9"/>
      <color rgb="FFC00000"/>
      <name val="Courier New"/>
      <family val="3"/>
    </font>
    <font>
      <b/>
      <sz val="10"/>
      <color rgb="FF1F4E79"/>
      <name val="Arial"/>
      <family val="2"/>
    </font>
    <font>
      <sz val="10"/>
      <name val="Arial"/>
      <family val="2"/>
    </font>
    <font>
      <sz val="10"/>
      <color rgb="FF1F4E79"/>
      <name val="Arial"/>
      <family val="2"/>
    </font>
    <font>
      <b/>
      <sz val="9"/>
      <name val="Cambria"/>
      <family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285F4"/>
      </patternFill>
    </fill>
    <fill>
      <patternFill patternType="solid">
        <fgColor rgb="FFEBF3FB"/>
        <bgColor rgb="FFFFFFFF"/>
      </patternFill>
    </fill>
    <fill>
      <patternFill patternType="solid">
        <fgColor rgb="FFBDD7EE"/>
        <bgColor rgb="FFD9D9D9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1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D9D9D9"/>
      <rgbColor rgb="FF8B8B8B"/>
      <rgbColor rgb="FF9999FF"/>
      <rgbColor rgb="FF993366"/>
      <rgbColor rgb="FFFFFFCC"/>
      <rgbColor rgb="FFEBF3FB"/>
      <rgbColor rgb="FF660066"/>
      <rgbColor rgb="FFFF8080"/>
      <rgbColor rgb="FF1155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Arial"/>
                <a:ea typeface="Arial"/>
              </a:rPr>
              <a:t>Répartition des types de connexion internet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285F4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explosion val="5"/>
            <c:spPr>
              <a:solidFill>
                <a:srgbClr val="4285F4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040-480B-B19F-694863802D47}"/>
              </c:ext>
            </c:extLst>
          </c:dPt>
          <c:dPt>
            <c:idx val="1"/>
            <c:bubble3D val="0"/>
            <c:explosion val="5"/>
            <c:spPr>
              <a:solidFill>
                <a:srgbClr val="4285F4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040-480B-B19F-694863802D47}"/>
              </c:ext>
            </c:extLst>
          </c:dPt>
          <c:dPt>
            <c:idx val="2"/>
            <c:bubble3D val="0"/>
            <c:explosion val="5"/>
            <c:spPr>
              <a:solidFill>
                <a:srgbClr val="4285F4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040-480B-B19F-694863802D4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040-480B-B19F-694863802D4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040-480B-B19F-694863802D4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040-480B-B19F-694863802D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Analyse!$A$14:$A$16</c:f>
              <c:strCache>
                <c:ptCount val="3"/>
                <c:pt idx="0">
                  <c:v>Wi-Fi</c:v>
                </c:pt>
                <c:pt idx="1">
                  <c:v>Cable / Fibre</c:v>
                </c:pt>
                <c:pt idx="2">
                  <c:v>Données mobiles (5G / 4G)</c:v>
                </c:pt>
              </c:strCache>
            </c:strRef>
          </c:cat>
          <c:val>
            <c:numRef>
              <c:f>Analyse!$B$14:$B$16</c:f>
              <c:numCache>
                <c:formatCode>General</c:formatCode>
                <c:ptCount val="3"/>
                <c:pt idx="0">
                  <c:v>9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40-480B-B19F-694863802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Arial"/>
                <a:ea typeface="Arial"/>
              </a:rPr>
              <a:t>Distribution des heures passées sur internet par jour</a:t>
            </a:r>
          </a:p>
        </c:rich>
      </c:tx>
      <c:layout>
        <c:manualLayout>
          <c:xMode val="edge"/>
          <c:yMode val="edge"/>
          <c:x val="0.12263318205307143"/>
          <c:y val="1.9270829946306134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4506871620978"/>
          <c:y val="0.11947914566709804"/>
          <c:w val="0.76597255722968216"/>
          <c:h val="0.70835885797029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Analyse!$F$41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285F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Analyse!$E$42:$E$55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</c:numCache>
            </c:numRef>
          </c:cat>
          <c:val>
            <c:numRef>
              <c:f>Analyse!$F$42:$F$55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1-4EB6-96F4-1B8B42D85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16134"/>
        <c:axId val="16534548"/>
      </c:barChart>
      <c:catAx>
        <c:axId val="424161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Heures par jour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16534548"/>
        <c:crosses val="autoZero"/>
        <c:auto val="1"/>
        <c:lblAlgn val="ctr"/>
        <c:lblOffset val="100"/>
        <c:noMultiLvlLbl val="0"/>
      </c:catAx>
      <c:valAx>
        <c:axId val="1653454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Nombre de répondants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fr-FR"/>
          </a:p>
        </c:txPr>
        <c:crossAx val="424161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Repartition des types de connexion</a:t>
            </a:r>
            <a:r>
              <a:rPr lang="fr-FR" baseline="0"/>
              <a:t> internet :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Analyse!$A$14:$A$16</c:f>
              <c:strCache>
                <c:ptCount val="3"/>
                <c:pt idx="0">
                  <c:v>Wi-Fi</c:v>
                </c:pt>
                <c:pt idx="1">
                  <c:v>Cable / Fibre</c:v>
                </c:pt>
                <c:pt idx="2">
                  <c:v>Données mobiles (5G / 4G)</c:v>
                </c:pt>
              </c:strCache>
            </c:strRef>
          </c:cat>
          <c:val>
            <c:numRef>
              <c:f>Analyse!$B$14:$B$16</c:f>
              <c:numCache>
                <c:formatCode>General</c:formatCode>
                <c:ptCount val="3"/>
                <c:pt idx="0">
                  <c:v>9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6-424F-AC97-FF46E7F8185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Analyse!$A$14:$A$16</c:f>
              <c:strCache>
                <c:ptCount val="3"/>
                <c:pt idx="0">
                  <c:v>Wi-Fi</c:v>
                </c:pt>
                <c:pt idx="1">
                  <c:v>Cable / Fibre</c:v>
                </c:pt>
                <c:pt idx="2">
                  <c:v>Données mobiles (5G / 4G)</c:v>
                </c:pt>
              </c:strCache>
            </c:strRef>
          </c:cat>
          <c:val>
            <c:numRef>
              <c:f>Analyse!$C$14:$C$16</c:f>
              <c:numCache>
                <c:formatCode>0.0%</c:formatCode>
                <c:ptCount val="3"/>
                <c:pt idx="0">
                  <c:v>0.52941176470588236</c:v>
                </c:pt>
                <c:pt idx="1">
                  <c:v>0.23529411764705882</c:v>
                </c:pt>
                <c:pt idx="2">
                  <c:v>0.23529411764705882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6-424F-AC97-FF46E7F81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12</xdr:col>
      <xdr:colOff>257760</xdr:colOff>
      <xdr:row>20</xdr:row>
      <xdr:rowOff>109440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666750</xdr:colOff>
      <xdr:row>55</xdr:row>
      <xdr:rowOff>146050</xdr:rowOff>
    </xdr:from>
    <xdr:to>
      <xdr:col>11</xdr:col>
      <xdr:colOff>4530</xdr:colOff>
      <xdr:row>84</xdr:row>
      <xdr:rowOff>155490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266700</xdr:colOff>
      <xdr:row>2</xdr:row>
      <xdr:rowOff>38100</xdr:rowOff>
    </xdr:from>
    <xdr:to>
      <xdr:col>12</xdr:col>
      <xdr:colOff>406400</xdr:colOff>
      <xdr:row>18</xdr:row>
      <xdr:rowOff>222250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F7D5D1F-1742-48BB-9430-61F76CE88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m_Responses" displayName="Form_Responses" ref="A1:J18" totalsRowShown="0">
  <tableColumns count="10">
    <tableColumn id="1" name="Horodateur"/>
    <tableColumn id="2" name="Adresse e-mail"/>
    <tableColumn id="3" name="Quel est votre statut ? (Etudiants/Enseignant/ Autre)"/>
    <tableColumn id="4" name="Quel type de connexion internet utilisez-vous le plus ?"/>
    <tableColumn id="5" name="Quel appareil utilisez-vous le plus pour communiquer sur internet ?"/>
    <tableColumn id="6" name="Combien d'heures par jour passez-vous sur internet(heures)"/>
    <tableColumn id="7" name="A quel point la qualité de votre connexion internet est-elle satisfaisante ?"/>
    <tableColumn id="8" name="Utilisez-vous internet pour les études ou le travail ?"/>
    <tableColumn id="9" name="Pour quelles activités utilisez-vous le plus internet ?"/>
    <tableColumn id="10" name="Selon vous, comment les réseaux de communication ont-ils changé la façon dont les gens communiquent ?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5073@supnum.mr" TargetMode="External"/><Relationship Id="rId3" Type="http://schemas.openxmlformats.org/officeDocument/2006/relationships/hyperlink" Target="mailto:25047@supnum.mr" TargetMode="External"/><Relationship Id="rId7" Type="http://schemas.openxmlformats.org/officeDocument/2006/relationships/hyperlink" Target="mailto:25120@spnum.mr" TargetMode="External"/><Relationship Id="rId2" Type="http://schemas.openxmlformats.org/officeDocument/2006/relationships/hyperlink" Target="mailto:25044@supnum.mr" TargetMode="External"/><Relationship Id="rId1" Type="http://schemas.openxmlformats.org/officeDocument/2006/relationships/hyperlink" Target="mailto:25169@supnum.mr" TargetMode="External"/><Relationship Id="rId6" Type="http://schemas.openxmlformats.org/officeDocument/2006/relationships/hyperlink" Target="mailto:250135@supnum.mr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25130@supnum.mr" TargetMode="External"/><Relationship Id="rId10" Type="http://schemas.openxmlformats.org/officeDocument/2006/relationships/hyperlink" Target="mailto:25164@supnum.mr" TargetMode="External"/><Relationship Id="rId4" Type="http://schemas.openxmlformats.org/officeDocument/2006/relationships/hyperlink" Target="mailto:25051@supnum.mr" TargetMode="External"/><Relationship Id="rId9" Type="http://schemas.openxmlformats.org/officeDocument/2006/relationships/hyperlink" Target="mailto:25036@supnum.m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topLeftCell="D1" zoomScaleNormal="100" workbookViewId="0">
      <pane ySplit="1" topLeftCell="A2" activePane="bottomLeft" state="frozen"/>
      <selection activeCell="D1" sqref="D1"/>
      <selection pane="bottomLeft" activeCell="F3" sqref="F3"/>
    </sheetView>
  </sheetViews>
  <sheetFormatPr baseColWidth="10" defaultColWidth="12.6328125" defaultRowHeight="12.5" x14ac:dyDescent="0.25"/>
  <cols>
    <col min="1" max="2" width="18.90625" customWidth="1"/>
    <col min="3" max="5" width="37.6328125" customWidth="1"/>
    <col min="6" max="6" width="50" customWidth="1"/>
    <col min="7" max="8" width="37.6328125" customWidth="1"/>
    <col min="9" max="9" width="97.81640625" customWidth="1"/>
    <col min="10" max="10" width="120.26953125" customWidth="1"/>
    <col min="11" max="16" width="18.90625" customWidth="1"/>
  </cols>
  <sheetData>
    <row r="1" spans="1:10" ht="22.5" customHeight="1" x14ac:dyDescent="0.25">
      <c r="A1" s="5" t="s">
        <v>0</v>
      </c>
      <c r="B1" s="5" t="s">
        <v>1</v>
      </c>
      <c r="C1" s="5" t="s">
        <v>2</v>
      </c>
      <c r="D1" s="27" t="s">
        <v>3</v>
      </c>
      <c r="E1" s="27" t="s">
        <v>4</v>
      </c>
      <c r="F1" s="28" t="s">
        <v>97</v>
      </c>
      <c r="G1" s="27" t="s">
        <v>5</v>
      </c>
      <c r="H1" s="27" t="s">
        <v>6</v>
      </c>
      <c r="I1" s="27" t="s">
        <v>7</v>
      </c>
      <c r="J1" s="27" t="s">
        <v>8</v>
      </c>
    </row>
    <row r="2" spans="1:10" ht="22.5" customHeight="1" x14ac:dyDescent="0.25">
      <c r="A2" s="6">
        <v>46096.852020370403</v>
      </c>
      <c r="B2" s="7" t="s">
        <v>9</v>
      </c>
      <c r="C2" s="8" t="s">
        <v>10</v>
      </c>
      <c r="D2" s="8" t="s">
        <v>11</v>
      </c>
      <c r="E2" s="8" t="s">
        <v>12</v>
      </c>
      <c r="F2" s="8">
        <v>5</v>
      </c>
      <c r="G2" s="8">
        <v>4</v>
      </c>
      <c r="H2" s="8" t="s">
        <v>13</v>
      </c>
      <c r="I2" s="8" t="s">
        <v>14</v>
      </c>
      <c r="J2" s="8" t="s">
        <v>15</v>
      </c>
    </row>
    <row r="3" spans="1:10" ht="22.5" customHeight="1" x14ac:dyDescent="0.25">
      <c r="A3" s="6">
        <v>46096.853459803198</v>
      </c>
      <c r="B3" s="7" t="s">
        <v>16</v>
      </c>
      <c r="C3" s="8" t="s">
        <v>17</v>
      </c>
      <c r="D3" s="8" t="s">
        <v>18</v>
      </c>
      <c r="E3" s="8" t="s">
        <v>19</v>
      </c>
      <c r="F3" s="8">
        <v>11</v>
      </c>
      <c r="G3" s="8">
        <v>5</v>
      </c>
      <c r="H3" s="8" t="s">
        <v>20</v>
      </c>
      <c r="I3" s="8" t="s">
        <v>21</v>
      </c>
      <c r="J3" s="8"/>
    </row>
    <row r="4" spans="1:10" ht="22.5" customHeight="1" x14ac:dyDescent="0.25">
      <c r="A4" s="6">
        <v>46096.854025624998</v>
      </c>
      <c r="B4" s="7" t="s">
        <v>22</v>
      </c>
      <c r="C4" s="8" t="s">
        <v>23</v>
      </c>
      <c r="D4" s="8" t="s">
        <v>24</v>
      </c>
      <c r="E4" s="8" t="s">
        <v>12</v>
      </c>
      <c r="F4" s="8">
        <v>8</v>
      </c>
      <c r="G4" s="8">
        <v>5</v>
      </c>
      <c r="H4" s="8" t="s">
        <v>20</v>
      </c>
      <c r="I4" s="8" t="s">
        <v>25</v>
      </c>
      <c r="J4" s="8" t="s">
        <v>26</v>
      </c>
    </row>
    <row r="5" spans="1:10" ht="22.5" customHeight="1" x14ac:dyDescent="0.25">
      <c r="A5" s="6">
        <v>46096.857020080999</v>
      </c>
      <c r="B5" s="7" t="s">
        <v>27</v>
      </c>
      <c r="C5" s="8" t="s">
        <v>17</v>
      </c>
      <c r="D5" s="8" t="s">
        <v>18</v>
      </c>
      <c r="E5" s="8" t="s">
        <v>12</v>
      </c>
      <c r="F5" s="8">
        <v>7</v>
      </c>
      <c r="G5" s="8">
        <v>2</v>
      </c>
      <c r="H5" s="8" t="s">
        <v>20</v>
      </c>
      <c r="I5" s="8" t="s">
        <v>28</v>
      </c>
      <c r="J5" s="8" t="s">
        <v>29</v>
      </c>
    </row>
    <row r="6" spans="1:10" ht="22.5" customHeight="1" x14ac:dyDescent="0.25">
      <c r="A6" s="6">
        <v>46096.857484502303</v>
      </c>
      <c r="B6" s="7" t="s">
        <v>30</v>
      </c>
      <c r="C6" s="8" t="s">
        <v>17</v>
      </c>
      <c r="D6" s="8" t="s">
        <v>11</v>
      </c>
      <c r="E6" s="8" t="s">
        <v>31</v>
      </c>
      <c r="F6" s="8">
        <v>5</v>
      </c>
      <c r="G6" s="8">
        <v>3</v>
      </c>
      <c r="H6" s="8" t="s">
        <v>13</v>
      </c>
      <c r="I6" s="8" t="s">
        <v>25</v>
      </c>
      <c r="J6" s="8" t="s">
        <v>32</v>
      </c>
    </row>
    <row r="7" spans="1:10" ht="22.5" customHeight="1" x14ac:dyDescent="0.25">
      <c r="A7" s="6">
        <v>46096.857935949098</v>
      </c>
      <c r="B7" s="7" t="s">
        <v>33</v>
      </c>
      <c r="C7" s="8" t="s">
        <v>10</v>
      </c>
      <c r="D7" s="8" t="s">
        <v>18</v>
      </c>
      <c r="E7" s="8" t="s">
        <v>34</v>
      </c>
      <c r="F7" s="8">
        <v>10</v>
      </c>
      <c r="G7" s="8">
        <v>4</v>
      </c>
      <c r="H7" s="8" t="s">
        <v>13</v>
      </c>
      <c r="I7" s="8" t="s">
        <v>21</v>
      </c>
      <c r="J7" s="8" t="s">
        <v>35</v>
      </c>
    </row>
    <row r="8" spans="1:10" ht="22.5" customHeight="1" x14ac:dyDescent="0.25">
      <c r="A8" s="6">
        <v>46096.858364004598</v>
      </c>
      <c r="B8" s="7" t="s">
        <v>36</v>
      </c>
      <c r="C8" s="8" t="s">
        <v>10</v>
      </c>
      <c r="D8" s="8" t="s">
        <v>11</v>
      </c>
      <c r="E8" s="8" t="s">
        <v>12</v>
      </c>
      <c r="F8" s="8">
        <v>11</v>
      </c>
      <c r="G8" s="8">
        <v>4</v>
      </c>
      <c r="H8" s="8" t="s">
        <v>20</v>
      </c>
      <c r="I8" s="8" t="s">
        <v>25</v>
      </c>
      <c r="J8" s="8" t="s">
        <v>35</v>
      </c>
    </row>
    <row r="9" spans="1:10" ht="22.5" customHeight="1" x14ac:dyDescent="0.25">
      <c r="A9" s="6">
        <v>46096.858658240701</v>
      </c>
      <c r="B9" s="7" t="s">
        <v>37</v>
      </c>
      <c r="C9" s="8" t="s">
        <v>17</v>
      </c>
      <c r="D9" s="8" t="s">
        <v>18</v>
      </c>
      <c r="E9" s="8" t="s">
        <v>12</v>
      </c>
      <c r="F9" s="8">
        <v>19</v>
      </c>
      <c r="G9" s="8">
        <v>2</v>
      </c>
      <c r="H9" s="8" t="s">
        <v>20</v>
      </c>
      <c r="I9" s="8" t="s">
        <v>38</v>
      </c>
      <c r="J9" s="8" t="s">
        <v>39</v>
      </c>
    </row>
    <row r="10" spans="1:10" ht="22.5" customHeight="1" x14ac:dyDescent="0.25">
      <c r="A10" s="6">
        <v>46096.884663402801</v>
      </c>
      <c r="B10" s="7" t="s">
        <v>40</v>
      </c>
      <c r="C10" s="8" t="s">
        <v>10</v>
      </c>
      <c r="D10" s="8" t="s">
        <v>11</v>
      </c>
      <c r="E10" s="8" t="s">
        <v>31</v>
      </c>
      <c r="F10" s="8">
        <v>20</v>
      </c>
      <c r="G10" s="8">
        <v>1</v>
      </c>
      <c r="H10" s="8" t="s">
        <v>13</v>
      </c>
      <c r="I10" s="8" t="s">
        <v>25</v>
      </c>
      <c r="J10" s="8" t="s">
        <v>41</v>
      </c>
    </row>
    <row r="11" spans="1:10" ht="22.5" customHeight="1" x14ac:dyDescent="0.25">
      <c r="A11" s="6">
        <v>46096.942993159697</v>
      </c>
      <c r="B11" s="7" t="s">
        <v>42</v>
      </c>
      <c r="C11" s="8" t="s">
        <v>43</v>
      </c>
      <c r="D11" s="8" t="s">
        <v>24</v>
      </c>
      <c r="E11" s="8" t="s">
        <v>12</v>
      </c>
      <c r="F11" s="8">
        <v>3</v>
      </c>
      <c r="G11" s="8">
        <v>5</v>
      </c>
      <c r="H11" s="8" t="s">
        <v>13</v>
      </c>
      <c r="I11" s="8" t="s">
        <v>25</v>
      </c>
      <c r="J11" s="8" t="s">
        <v>44</v>
      </c>
    </row>
    <row r="12" spans="1:10" ht="22.5" customHeight="1" x14ac:dyDescent="0.25">
      <c r="A12" s="6">
        <v>46096.957970312498</v>
      </c>
      <c r="B12" s="8" t="s">
        <v>45</v>
      </c>
      <c r="C12" s="8" t="s">
        <v>46</v>
      </c>
      <c r="D12" s="8" t="s">
        <v>11</v>
      </c>
      <c r="E12" s="8" t="s">
        <v>31</v>
      </c>
      <c r="F12" s="8">
        <v>13</v>
      </c>
      <c r="G12" s="8">
        <v>1</v>
      </c>
      <c r="H12" s="8" t="s">
        <v>13</v>
      </c>
      <c r="I12" s="8" t="s">
        <v>47</v>
      </c>
      <c r="J12" s="8" t="s">
        <v>48</v>
      </c>
    </row>
    <row r="13" spans="1:10" ht="22.5" customHeight="1" x14ac:dyDescent="0.25">
      <c r="A13" s="6">
        <v>46096.963534965304</v>
      </c>
      <c r="B13" s="8" t="s">
        <v>49</v>
      </c>
      <c r="C13" s="8" t="s">
        <v>50</v>
      </c>
      <c r="D13" s="8" t="s">
        <v>11</v>
      </c>
      <c r="E13" s="8" t="s">
        <v>31</v>
      </c>
      <c r="F13" s="8">
        <v>2</v>
      </c>
      <c r="G13" s="8">
        <v>3</v>
      </c>
      <c r="H13" s="8" t="s">
        <v>13</v>
      </c>
      <c r="I13" s="8" t="s">
        <v>51</v>
      </c>
      <c r="J13" s="9" t="s">
        <v>52</v>
      </c>
    </row>
    <row r="14" spans="1:10" ht="22.5" customHeight="1" x14ac:dyDescent="0.25">
      <c r="A14" s="6">
        <v>46096.971863148101</v>
      </c>
      <c r="B14" s="8" t="s">
        <v>53</v>
      </c>
      <c r="C14" s="8" t="s">
        <v>46</v>
      </c>
      <c r="D14" s="8" t="s">
        <v>11</v>
      </c>
      <c r="E14" s="8" t="s">
        <v>31</v>
      </c>
      <c r="F14" s="8">
        <v>4</v>
      </c>
      <c r="G14" s="8">
        <v>4</v>
      </c>
      <c r="H14" s="8" t="s">
        <v>13</v>
      </c>
      <c r="I14" s="8" t="s">
        <v>54</v>
      </c>
      <c r="J14" s="8" t="s">
        <v>55</v>
      </c>
    </row>
    <row r="15" spans="1:10" ht="22.5" customHeight="1" x14ac:dyDescent="0.25">
      <c r="A15" s="6">
        <v>46096.9780644907</v>
      </c>
      <c r="B15" s="8" t="s">
        <v>56</v>
      </c>
      <c r="C15" s="8" t="s">
        <v>57</v>
      </c>
      <c r="D15" s="8" t="s">
        <v>11</v>
      </c>
      <c r="E15" s="8" t="s">
        <v>31</v>
      </c>
      <c r="F15" s="8">
        <v>21</v>
      </c>
      <c r="G15" s="8">
        <v>1</v>
      </c>
      <c r="H15" s="8" t="s">
        <v>13</v>
      </c>
      <c r="I15" s="8" t="s">
        <v>58</v>
      </c>
      <c r="J15" s="8" t="s">
        <v>59</v>
      </c>
    </row>
    <row r="16" spans="1:10" ht="22.5" customHeight="1" x14ac:dyDescent="0.25">
      <c r="A16" s="6">
        <v>46096.980939745401</v>
      </c>
      <c r="B16" s="8" t="s">
        <v>60</v>
      </c>
      <c r="C16" s="8" t="s">
        <v>57</v>
      </c>
      <c r="D16" s="8" t="s">
        <v>11</v>
      </c>
      <c r="E16" s="8" t="s">
        <v>31</v>
      </c>
      <c r="F16" s="8">
        <v>10</v>
      </c>
      <c r="G16" s="8">
        <v>2</v>
      </c>
      <c r="H16" s="8" t="s">
        <v>20</v>
      </c>
      <c r="I16" s="8" t="s">
        <v>61</v>
      </c>
      <c r="J16" s="8" t="s">
        <v>62</v>
      </c>
    </row>
    <row r="17" spans="1:10" ht="22.5" customHeight="1" x14ac:dyDescent="0.25">
      <c r="A17" s="6">
        <v>46096.982488344896</v>
      </c>
      <c r="B17" s="8" t="s">
        <v>63</v>
      </c>
      <c r="C17" s="8" t="s">
        <v>17</v>
      </c>
      <c r="D17" s="8" t="s">
        <v>24</v>
      </c>
      <c r="E17" s="8" t="s">
        <v>12</v>
      </c>
      <c r="F17" s="8">
        <v>18</v>
      </c>
      <c r="G17" s="8">
        <v>1</v>
      </c>
      <c r="H17" s="8" t="s">
        <v>13</v>
      </c>
      <c r="I17" s="8" t="s">
        <v>64</v>
      </c>
      <c r="J17" s="8" t="s">
        <v>65</v>
      </c>
    </row>
    <row r="18" spans="1:10" ht="22.5" customHeight="1" x14ac:dyDescent="0.25">
      <c r="A18" s="6">
        <v>46096.998755509303</v>
      </c>
      <c r="B18" s="8" t="s">
        <v>66</v>
      </c>
      <c r="C18" s="8" t="s">
        <v>67</v>
      </c>
      <c r="D18" s="8" t="s">
        <v>24</v>
      </c>
      <c r="E18" s="8" t="s">
        <v>31</v>
      </c>
      <c r="F18" s="8">
        <v>12</v>
      </c>
      <c r="G18" s="8">
        <v>3</v>
      </c>
      <c r="H18" s="8" t="s">
        <v>13</v>
      </c>
      <c r="I18" s="8" t="s">
        <v>64</v>
      </c>
      <c r="J18" s="8" t="s">
        <v>68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</hyperlinks>
  <pageMargins left="0.7" right="0.7" top="0.75" bottom="0.75" header="0.511811023622047" footer="0.511811023622047"/>
  <pageSetup paperSize="9" orientation="portrait" horizontalDpi="300" verticalDpi="30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54" zoomScaleNormal="100" workbookViewId="0">
      <selection activeCell="C46" sqref="C46"/>
    </sheetView>
  </sheetViews>
  <sheetFormatPr baseColWidth="10" defaultColWidth="8.6328125" defaultRowHeight="12.5" x14ac:dyDescent="0.25"/>
  <cols>
    <col min="1" max="1" width="44" customWidth="1"/>
    <col min="2" max="3" width="14" customWidth="1"/>
    <col min="4" max="4" width="4" customWidth="1"/>
    <col min="5" max="5" width="12" customWidth="1"/>
    <col min="6" max="6" width="14" customWidth="1"/>
  </cols>
  <sheetData>
    <row r="1" spans="1:6" ht="30" customHeight="1" x14ac:dyDescent="0.25">
      <c r="A1" s="4" t="s">
        <v>69</v>
      </c>
      <c r="B1" s="4"/>
      <c r="C1" s="4"/>
      <c r="D1" s="4"/>
      <c r="E1" s="4"/>
      <c r="F1" s="4"/>
    </row>
    <row r="2" spans="1:6" ht="7.5" customHeight="1" x14ac:dyDescent="0.25"/>
    <row r="3" spans="1:6" ht="21.75" customHeight="1" x14ac:dyDescent="0.25">
      <c r="A3" s="3" t="s">
        <v>70</v>
      </c>
      <c r="B3" s="3"/>
      <c r="C3" s="3"/>
      <c r="D3" s="3"/>
      <c r="E3" s="3"/>
      <c r="F3" s="3"/>
    </row>
    <row r="4" spans="1:6" ht="18" customHeight="1" x14ac:dyDescent="0.25">
      <c r="A4" s="2" t="s">
        <v>98</v>
      </c>
      <c r="B4" s="2"/>
      <c r="C4" s="2"/>
      <c r="D4" s="2"/>
      <c r="E4" s="2"/>
      <c r="F4" s="2"/>
    </row>
    <row r="5" spans="1:6" ht="19.5" customHeight="1" x14ac:dyDescent="0.25">
      <c r="A5" s="10" t="s">
        <v>71</v>
      </c>
      <c r="B5" s="10" t="s">
        <v>72</v>
      </c>
      <c r="C5" s="10" t="s">
        <v>73</v>
      </c>
    </row>
    <row r="6" spans="1:6" ht="18" customHeight="1" x14ac:dyDescent="0.25">
      <c r="A6" s="11" t="s">
        <v>74</v>
      </c>
      <c r="B6" s="12" t="s">
        <v>75</v>
      </c>
      <c r="C6" s="13">
        <f>COUNT('Réponses au formulaire 1'!F2:F18)</f>
        <v>17</v>
      </c>
    </row>
    <row r="7" spans="1:6" ht="18" customHeight="1" x14ac:dyDescent="0.25">
      <c r="A7" s="14" t="s">
        <v>76</v>
      </c>
      <c r="B7" s="15" t="s">
        <v>77</v>
      </c>
      <c r="C7" s="16">
        <f>MIN('Réponses au formulaire 1'!F2:F18)</f>
        <v>2</v>
      </c>
    </row>
    <row r="8" spans="1:6" ht="18" customHeight="1" x14ac:dyDescent="0.25">
      <c r="A8" s="11" t="s">
        <v>78</v>
      </c>
      <c r="B8" s="12" t="s">
        <v>79</v>
      </c>
      <c r="C8" s="13">
        <f>MAX('Réponses au formulaire 1'!F2:F18)</f>
        <v>21</v>
      </c>
    </row>
    <row r="9" spans="1:6" ht="18" customHeight="1" x14ac:dyDescent="0.25">
      <c r="A9" s="14" t="s">
        <v>80</v>
      </c>
      <c r="B9" s="15" t="s">
        <v>81</v>
      </c>
      <c r="C9" s="17">
        <f>AVERAGE('Réponses au formulaire 1'!F2:F18)</f>
        <v>10.529411764705882</v>
      </c>
    </row>
    <row r="11" spans="1:6" ht="21.75" customHeight="1" x14ac:dyDescent="0.25">
      <c r="A11" s="3" t="s">
        <v>82</v>
      </c>
      <c r="B11" s="3"/>
      <c r="C11" s="3"/>
      <c r="D11" s="3"/>
      <c r="E11" s="3"/>
      <c r="F11" s="3"/>
    </row>
    <row r="12" spans="1:6" ht="18" customHeight="1" x14ac:dyDescent="0.25">
      <c r="A12" s="2" t="s">
        <v>83</v>
      </c>
      <c r="B12" s="2"/>
      <c r="C12" s="2"/>
      <c r="D12" s="2"/>
      <c r="E12" s="2"/>
      <c r="F12" s="2"/>
    </row>
    <row r="13" spans="1:6" ht="19.5" customHeight="1" x14ac:dyDescent="0.25">
      <c r="A13" s="10" t="s">
        <v>84</v>
      </c>
      <c r="B13" s="10" t="s">
        <v>85</v>
      </c>
      <c r="C13" s="10" t="s">
        <v>86</v>
      </c>
    </row>
    <row r="14" spans="1:6" ht="18" customHeight="1" x14ac:dyDescent="0.25">
      <c r="A14" s="18" t="s">
        <v>11</v>
      </c>
      <c r="B14" s="19">
        <f>COUNTIF('Réponses au formulaire 1'!D$2:D$18,A14)</f>
        <v>9</v>
      </c>
      <c r="C14" s="20">
        <f>B14/B17</f>
        <v>0.52941176470588236</v>
      </c>
    </row>
    <row r="15" spans="1:6" ht="18" customHeight="1" x14ac:dyDescent="0.25">
      <c r="A15" s="21" t="s">
        <v>18</v>
      </c>
      <c r="B15" s="22">
        <f>COUNTIF('Réponses au formulaire 1'!D$2:D$18,A15)</f>
        <v>4</v>
      </c>
      <c r="C15" s="20">
        <f>B15/B17</f>
        <v>0.23529411764705882</v>
      </c>
    </row>
    <row r="16" spans="1:6" ht="18" customHeight="1" x14ac:dyDescent="0.25">
      <c r="A16" s="18" t="s">
        <v>24</v>
      </c>
      <c r="B16" s="19">
        <f>COUNTIF('Réponses au formulaire 1'!D$2:D$18,A16)</f>
        <v>4</v>
      </c>
      <c r="C16" s="20">
        <f>B16/B17</f>
        <v>0.23529411764705882</v>
      </c>
    </row>
    <row r="17" spans="1:6" ht="19.5" customHeight="1" x14ac:dyDescent="0.25">
      <c r="A17" s="23" t="s">
        <v>87</v>
      </c>
      <c r="B17" s="24">
        <f>SUM(B14:B16)</f>
        <v>17</v>
      </c>
      <c r="C17" s="25">
        <f>SUM(C14:C16)</f>
        <v>1</v>
      </c>
    </row>
    <row r="19" spans="1:6" ht="18" customHeight="1" x14ac:dyDescent="0.25">
      <c r="A19" s="2" t="s">
        <v>88</v>
      </c>
      <c r="B19" s="2"/>
      <c r="C19" s="2"/>
      <c r="D19" s="2"/>
      <c r="E19" s="2"/>
      <c r="F19" s="2"/>
    </row>
    <row r="20" spans="1:6" ht="19.5" customHeight="1" x14ac:dyDescent="0.25">
      <c r="A20" s="10" t="s">
        <v>84</v>
      </c>
      <c r="B20" s="10" t="s">
        <v>85</v>
      </c>
      <c r="C20" s="10" t="s">
        <v>86</v>
      </c>
    </row>
    <row r="21" spans="1:6" ht="18" customHeight="1" x14ac:dyDescent="0.25">
      <c r="A21" s="18" t="s">
        <v>31</v>
      </c>
      <c r="B21" s="19">
        <f>COUNTIF('Réponses au formulaire 1'!E$2:E$18,A21)</f>
        <v>8</v>
      </c>
      <c r="C21" s="20">
        <f>B21/B25</f>
        <v>0.47058823529411764</v>
      </c>
    </row>
    <row r="22" spans="1:6" ht="18" customHeight="1" x14ac:dyDescent="0.25">
      <c r="A22" s="21" t="s">
        <v>12</v>
      </c>
      <c r="B22" s="22">
        <f>COUNTIF('Réponses au formulaire 1'!E$2:E$18,A22)</f>
        <v>7</v>
      </c>
      <c r="C22" s="20">
        <f>B22/B25</f>
        <v>0.41176470588235292</v>
      </c>
    </row>
    <row r="23" spans="1:6" ht="18" customHeight="1" x14ac:dyDescent="0.25">
      <c r="A23" s="18" t="s">
        <v>19</v>
      </c>
      <c r="B23" s="19">
        <f>COUNTIF('Réponses au formulaire 1'!E$2:E$18,A23)</f>
        <v>1</v>
      </c>
      <c r="C23" s="20">
        <f>B23/B25</f>
        <v>5.8823529411764705E-2</v>
      </c>
    </row>
    <row r="24" spans="1:6" ht="18" customHeight="1" x14ac:dyDescent="0.25">
      <c r="A24" s="21" t="s">
        <v>34</v>
      </c>
      <c r="B24" s="22">
        <f>COUNTIF('Réponses au formulaire 1'!E$2:E$18,A24)</f>
        <v>1</v>
      </c>
      <c r="C24" s="20">
        <f>B24/B25</f>
        <v>5.8823529411764705E-2</v>
      </c>
    </row>
    <row r="25" spans="1:6" ht="19.5" customHeight="1" x14ac:dyDescent="0.25">
      <c r="A25" s="23" t="s">
        <v>87</v>
      </c>
      <c r="B25" s="24">
        <f>SUM(B21:B24)</f>
        <v>17</v>
      </c>
      <c r="C25" s="25">
        <f>SUM(C21:C24)</f>
        <v>1</v>
      </c>
    </row>
    <row r="27" spans="1:6" ht="18" customHeight="1" x14ac:dyDescent="0.25">
      <c r="A27" s="2" t="s">
        <v>89</v>
      </c>
      <c r="B27" s="2"/>
      <c r="C27" s="2"/>
      <c r="D27" s="2"/>
      <c r="E27" s="2"/>
      <c r="F27" s="2"/>
    </row>
    <row r="28" spans="1:6" ht="19.5" customHeight="1" x14ac:dyDescent="0.25">
      <c r="A28" s="10" t="s">
        <v>84</v>
      </c>
      <c r="B28" s="10" t="s">
        <v>85</v>
      </c>
      <c r="C28" s="10" t="s">
        <v>86</v>
      </c>
    </row>
    <row r="29" spans="1:6" ht="18" customHeight="1" x14ac:dyDescent="0.25">
      <c r="A29" s="18" t="s">
        <v>13</v>
      </c>
      <c r="B29" s="19">
        <f>COUNTIF('Réponses au formulaire 1'!H$2:H$18,A29)</f>
        <v>11</v>
      </c>
      <c r="C29" s="20">
        <f>B29/B31</f>
        <v>0.6470588235294118</v>
      </c>
    </row>
    <row r="30" spans="1:6" ht="18" customHeight="1" x14ac:dyDescent="0.25">
      <c r="A30" s="21" t="s">
        <v>20</v>
      </c>
      <c r="B30" s="22">
        <f>COUNTIF('Réponses au formulaire 1'!H$2:H$18,A30)</f>
        <v>6</v>
      </c>
      <c r="C30" s="20">
        <f>B30/B31</f>
        <v>0.35294117647058826</v>
      </c>
    </row>
    <row r="31" spans="1:6" ht="19.5" customHeight="1" x14ac:dyDescent="0.25">
      <c r="A31" s="23" t="s">
        <v>87</v>
      </c>
      <c r="B31" s="24">
        <f>SUM(B29:B30)</f>
        <v>17</v>
      </c>
      <c r="C31" s="25">
        <f>SUM(C29:C30)</f>
        <v>1</v>
      </c>
    </row>
    <row r="33" spans="1:6" ht="21.75" customHeight="1" x14ac:dyDescent="0.25">
      <c r="A33" s="3" t="s">
        <v>90</v>
      </c>
      <c r="B33" s="3"/>
      <c r="C33" s="3"/>
      <c r="D33" s="3"/>
      <c r="E33" s="3"/>
      <c r="F33" s="3"/>
    </row>
    <row r="34" spans="1:6" ht="25.5" customHeight="1" x14ac:dyDescent="0.25">
      <c r="A34" s="1" t="s">
        <v>91</v>
      </c>
      <c r="B34" s="1"/>
      <c r="C34" s="1"/>
      <c r="D34" s="1"/>
      <c r="E34" s="1"/>
      <c r="F34" s="1"/>
    </row>
    <row r="35" spans="1:6" ht="25.5" customHeight="1" x14ac:dyDescent="0.25">
      <c r="A35" s="1" t="s">
        <v>92</v>
      </c>
      <c r="B35" s="1"/>
      <c r="C35" s="1"/>
      <c r="D35" s="1"/>
      <c r="E35" s="1"/>
      <c r="F35" s="1"/>
    </row>
    <row r="36" spans="1:6" ht="25.5" customHeight="1" x14ac:dyDescent="0.25">
      <c r="A36" s="1" t="s">
        <v>93</v>
      </c>
      <c r="B36" s="1"/>
      <c r="C36" s="1"/>
      <c r="D36" s="1"/>
      <c r="E36" s="1"/>
      <c r="F36" s="1"/>
    </row>
    <row r="37" spans="1:6" ht="25.5" customHeight="1" x14ac:dyDescent="0.25">
      <c r="A37" s="1" t="s">
        <v>94</v>
      </c>
      <c r="B37" s="1"/>
      <c r="C37" s="1"/>
      <c r="D37" s="1"/>
      <c r="E37" s="1"/>
      <c r="F37" s="1"/>
    </row>
    <row r="38" spans="1:6" ht="25.5" customHeight="1" x14ac:dyDescent="0.25">
      <c r="A38" s="1" t="s">
        <v>95</v>
      </c>
      <c r="B38" s="1"/>
      <c r="C38" s="1"/>
      <c r="D38" s="1"/>
      <c r="E38" s="1"/>
      <c r="F38" s="1"/>
    </row>
    <row r="41" spans="1:6" x14ac:dyDescent="0.25">
      <c r="B41" s="26"/>
      <c r="C41" s="26"/>
      <c r="E41" s="26" t="s">
        <v>96</v>
      </c>
      <c r="F41" s="26" t="s">
        <v>85</v>
      </c>
    </row>
    <row r="42" spans="1:6" x14ac:dyDescent="0.25">
      <c r="E42">
        <v>2</v>
      </c>
      <c r="F42">
        <f>COUNTIF('Réponses au formulaire 1'!F$2:F$18,E42)</f>
        <v>1</v>
      </c>
    </row>
    <row r="43" spans="1:6" x14ac:dyDescent="0.25">
      <c r="E43">
        <v>3</v>
      </c>
      <c r="F43">
        <f>COUNTIF('Réponses au formulaire 1'!F$2:F$18,E43)</f>
        <v>1</v>
      </c>
    </row>
    <row r="44" spans="1:6" x14ac:dyDescent="0.25">
      <c r="E44">
        <v>4</v>
      </c>
      <c r="F44">
        <f>COUNTIF('Réponses au formulaire 1'!F$2:F$18,E44)</f>
        <v>1</v>
      </c>
    </row>
    <row r="45" spans="1:6" x14ac:dyDescent="0.25">
      <c r="E45">
        <v>5</v>
      </c>
      <c r="F45">
        <f>COUNTIF('Réponses au formulaire 1'!F$2:F$18,E45)</f>
        <v>2</v>
      </c>
    </row>
    <row r="46" spans="1:6" x14ac:dyDescent="0.25">
      <c r="E46">
        <v>7</v>
      </c>
      <c r="F46">
        <f>COUNTIF('Réponses au formulaire 1'!F$2:F$18,E46)</f>
        <v>1</v>
      </c>
    </row>
    <row r="47" spans="1:6" x14ac:dyDescent="0.25">
      <c r="E47">
        <v>8</v>
      </c>
      <c r="F47">
        <f>COUNTIF('Réponses au formulaire 1'!F$2:F$18,E47)</f>
        <v>1</v>
      </c>
    </row>
    <row r="48" spans="1:6" x14ac:dyDescent="0.25">
      <c r="E48">
        <v>10</v>
      </c>
      <c r="F48">
        <f>COUNTIF('Réponses au formulaire 1'!F$2:F$18,E48)</f>
        <v>2</v>
      </c>
    </row>
    <row r="49" spans="5:6" x14ac:dyDescent="0.25">
      <c r="E49">
        <v>11</v>
      </c>
      <c r="F49">
        <f>COUNTIF('Réponses au formulaire 1'!F$2:F$18,E49)</f>
        <v>2</v>
      </c>
    </row>
    <row r="50" spans="5:6" x14ac:dyDescent="0.25">
      <c r="E50">
        <v>12</v>
      </c>
      <c r="F50">
        <f>COUNTIF('Réponses au formulaire 1'!F$2:F$18,E50)</f>
        <v>1</v>
      </c>
    </row>
    <row r="51" spans="5:6" x14ac:dyDescent="0.25">
      <c r="E51">
        <v>13</v>
      </c>
      <c r="F51">
        <f>COUNTIF('Réponses au formulaire 1'!F$2:F$18,E51)</f>
        <v>1</v>
      </c>
    </row>
    <row r="52" spans="5:6" x14ac:dyDescent="0.25">
      <c r="E52">
        <v>18</v>
      </c>
      <c r="F52">
        <f>COUNTIF('Réponses au formulaire 1'!F$2:F$18,E52)</f>
        <v>1</v>
      </c>
    </row>
    <row r="53" spans="5:6" x14ac:dyDescent="0.25">
      <c r="E53">
        <v>19</v>
      </c>
      <c r="F53">
        <f>COUNTIF('Réponses au formulaire 1'!F$2:F$18,E53)</f>
        <v>1</v>
      </c>
    </row>
    <row r="54" spans="5:6" x14ac:dyDescent="0.25">
      <c r="E54">
        <v>20</v>
      </c>
      <c r="F54">
        <f>COUNTIF('Réponses au formulaire 1'!F$2:F$18,E54)</f>
        <v>1</v>
      </c>
    </row>
    <row r="55" spans="5:6" x14ac:dyDescent="0.25">
      <c r="E55">
        <v>21</v>
      </c>
      <c r="F55">
        <f>COUNTIF('Réponses au formulaire 1'!F$2:F$18,E55)</f>
        <v>1</v>
      </c>
    </row>
  </sheetData>
  <mergeCells count="13">
    <mergeCell ref="A36:F36"/>
    <mergeCell ref="A37:F37"/>
    <mergeCell ref="A38:F38"/>
    <mergeCell ref="A19:F19"/>
    <mergeCell ref="A27:F27"/>
    <mergeCell ref="A33:F33"/>
    <mergeCell ref="A34:F34"/>
    <mergeCell ref="A35:F35"/>
    <mergeCell ref="A1:F1"/>
    <mergeCell ref="A3:F3"/>
    <mergeCell ref="A4:F4"/>
    <mergeCell ref="A11:F11"/>
    <mergeCell ref="A12:F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Réponses au formulaire 1</vt:lpstr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Client</cp:lastModifiedBy>
  <cp:revision>1</cp:revision>
  <dcterms:created xsi:type="dcterms:W3CDTF">2026-03-16T01:25:24Z</dcterms:created>
  <dcterms:modified xsi:type="dcterms:W3CDTF">2026-03-16T02:11:33Z</dcterms:modified>
  <dc:language>en-US</dc:language>
</cp:coreProperties>
</file>